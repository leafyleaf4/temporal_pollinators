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llyborrowman/R_projects/temporal_pollinators/spreadsheets/"/>
    </mc:Choice>
  </mc:AlternateContent>
  <xr:revisionPtr revIDLastSave="0" documentId="13_ncr:1_{42EE88B7-4708-4943-946F-9FC35F34C279}" xr6:coauthVersionLast="47" xr6:coauthVersionMax="47" xr10:uidLastSave="{00000000-0000-0000-0000-000000000000}"/>
  <bookViews>
    <workbookView xWindow="0" yWindow="680" windowWidth="29400" windowHeight="17400" activeTab="1" xr2:uid="{DD5157BD-592B-EF4A-95FF-FB179A475922}"/>
  </bookViews>
  <sheets>
    <sheet name="pollinator_data_raw" sheetId="1" r:id="rId1"/>
    <sheet name="number_of_pollinators" sheetId="2" r:id="rId2"/>
    <sheet name="floral_uni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2" l="1"/>
  <c r="H22" i="2"/>
  <c r="H17" i="2"/>
  <c r="H16" i="2"/>
  <c r="H15" i="2"/>
  <c r="H14" i="2"/>
  <c r="H11" i="2"/>
  <c r="H9" i="2"/>
  <c r="H8" i="2"/>
  <c r="H6" i="2"/>
  <c r="H3" i="2"/>
  <c r="H34" i="1"/>
  <c r="H35" i="1"/>
  <c r="H33" i="1"/>
  <c r="H28" i="1"/>
  <c r="H23" i="1"/>
  <c r="H22" i="1"/>
  <c r="H21" i="1"/>
  <c r="H20" i="1"/>
  <c r="H19" i="1"/>
  <c r="H16" i="1"/>
  <c r="H14" i="1"/>
  <c r="H13" i="1"/>
  <c r="H9" i="1"/>
  <c r="H10" i="1"/>
  <c r="H11" i="1"/>
  <c r="H8" i="1"/>
  <c r="H4" i="1"/>
</calcChain>
</file>

<file path=xl/sharedStrings.xml><?xml version="1.0" encoding="utf-8"?>
<sst xmlns="http://schemas.openxmlformats.org/spreadsheetml/2006/main" count="235" uniqueCount="54">
  <si>
    <t>Temp_shade</t>
  </si>
  <si>
    <t>Illuminance</t>
  </si>
  <si>
    <t>Wind_max</t>
  </si>
  <si>
    <t>Wind_min</t>
  </si>
  <si>
    <t>Wind_average_every_10</t>
  </si>
  <si>
    <t>Time_of_observation</t>
  </si>
  <si>
    <t>insect_ID</t>
  </si>
  <si>
    <t>notes</t>
  </si>
  <si>
    <t>unknown_hoverfly</t>
  </si>
  <si>
    <t xml:space="preserve">didn’t catch </t>
  </si>
  <si>
    <t>unknown_coleoptera</t>
  </si>
  <si>
    <t xml:space="preserve">unkown_hoverfly </t>
  </si>
  <si>
    <t>didn't catch</t>
  </si>
  <si>
    <t>unknown_dipteran</t>
  </si>
  <si>
    <t xml:space="preserve">unknown_dipteran </t>
  </si>
  <si>
    <t>N/A</t>
  </si>
  <si>
    <t xml:space="preserve">went to 2 flowers </t>
  </si>
  <si>
    <t xml:space="preserve">went to 3 flowers </t>
  </si>
  <si>
    <t>running_order</t>
  </si>
  <si>
    <t>Date</t>
  </si>
  <si>
    <t>time_period</t>
  </si>
  <si>
    <t>Solar_power</t>
  </si>
  <si>
    <t>Humidity</t>
  </si>
  <si>
    <t>Temp_sun</t>
  </si>
  <si>
    <t>number_of_pollinators</t>
  </si>
  <si>
    <t xml:space="preserve">number_of_plantago </t>
  </si>
  <si>
    <t>C</t>
  </si>
  <si>
    <t>D</t>
  </si>
  <si>
    <t>A</t>
  </si>
  <si>
    <t>B</t>
  </si>
  <si>
    <t>Leucanthemum_vulgare</t>
  </si>
  <si>
    <t>Vicia_benghalensis</t>
  </si>
  <si>
    <t>Rhinanthus_minor</t>
  </si>
  <si>
    <t>Rumex_acetosella</t>
  </si>
  <si>
    <t>Lotus_corniculatus</t>
  </si>
  <si>
    <t>Stellaria_graminea</t>
  </si>
  <si>
    <t xml:space="preserve">Plantago_lanceolata </t>
  </si>
  <si>
    <t xml:space="preserve">Ranunculus_repens </t>
  </si>
  <si>
    <t>Galium_verum</t>
  </si>
  <si>
    <t>hypochaeris_radicata</t>
  </si>
  <si>
    <t xml:space="preserve">Wasp_morphospecies_1 </t>
  </si>
  <si>
    <t xml:space="preserve">Cheilosia_illustrata </t>
  </si>
  <si>
    <t>fly_morphospecies_1</t>
  </si>
  <si>
    <t>fly_morphospecies_2</t>
  </si>
  <si>
    <t>hemiptera_morphospecies_1</t>
  </si>
  <si>
    <t xml:space="preserve">hemiptera_morphospecies_2 </t>
  </si>
  <si>
    <t xml:space="preserve">Melanostoma_scalare </t>
  </si>
  <si>
    <t xml:space="preserve">Bombus_terrestris </t>
  </si>
  <si>
    <t>Rhagonycha_fulva</t>
  </si>
  <si>
    <t xml:space="preserve">Xanthandrus_comtus </t>
  </si>
  <si>
    <t xml:space="preserve">Apis_meliffera </t>
  </si>
  <si>
    <t xml:space="preserve">pollinators_per_flower </t>
  </si>
  <si>
    <t>pollinators_flower_minute</t>
  </si>
  <si>
    <t>plantago_per_m2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</si>
</sst>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DA245-F20C-F34A-A5C5-328B2200599F}">
  <dimension ref="A1:N38"/>
  <sheetViews>
    <sheetView workbookViewId="0">
      <selection activeCell="H1" sqref="H1:H1048576"/>
    </sheetView>
  </sheetViews>
  <sheetFormatPr baseColWidth="10" defaultRowHeight="16" x14ac:dyDescent="0.2"/>
  <cols>
    <col min="1" max="1" width="14.83203125" customWidth="1"/>
    <col min="2" max="2" width="23.1640625" customWidth="1"/>
    <col min="5" max="5" width="15.33203125" customWidth="1"/>
    <col min="6" max="6" width="18.83203125" customWidth="1"/>
    <col min="7" max="7" width="19.5" customWidth="1"/>
    <col min="8" max="8" width="17.83203125" customWidth="1"/>
    <col min="11" max="11" width="23.83203125" customWidth="1"/>
    <col min="12" max="12" width="19.5" customWidth="1"/>
    <col min="13" max="13" width="25.6640625" customWidth="1"/>
    <col min="14" max="14" width="12.83203125" customWidth="1"/>
  </cols>
  <sheetData>
    <row r="1" spans="1:14" s="2" customFormat="1" x14ac:dyDescent="0.2">
      <c r="A1" s="2" t="s">
        <v>18</v>
      </c>
      <c r="B1" s="3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</row>
    <row r="2" spans="1:14" x14ac:dyDescent="0.2">
      <c r="A2">
        <v>1</v>
      </c>
      <c r="B2" s="1">
        <v>46196</v>
      </c>
      <c r="C2" t="s">
        <v>26</v>
      </c>
      <c r="D2">
        <v>621.20000000000005</v>
      </c>
      <c r="E2">
        <v>52.44</v>
      </c>
      <c r="F2">
        <v>32.5</v>
      </c>
      <c r="G2">
        <v>30.08</v>
      </c>
      <c r="H2" s="4">
        <v>20000</v>
      </c>
      <c r="I2">
        <v>0.52</v>
      </c>
      <c r="J2">
        <v>0</v>
      </c>
      <c r="K2">
        <v>0.21884444444444448</v>
      </c>
      <c r="L2">
        <v>0.59166666666666667</v>
      </c>
      <c r="M2" t="s">
        <v>8</v>
      </c>
      <c r="N2" t="s">
        <v>9</v>
      </c>
    </row>
    <row r="3" spans="1:14" x14ac:dyDescent="0.2">
      <c r="A3">
        <v>2</v>
      </c>
      <c r="B3" s="1">
        <v>46196</v>
      </c>
      <c r="C3" t="s">
        <v>26</v>
      </c>
      <c r="D3">
        <v>621.20000000000005</v>
      </c>
      <c r="E3">
        <v>52.44</v>
      </c>
      <c r="F3">
        <v>32.5</v>
      </c>
      <c r="G3">
        <v>30.08</v>
      </c>
      <c r="H3" s="4">
        <v>20000</v>
      </c>
      <c r="I3">
        <v>0.52</v>
      </c>
      <c r="J3">
        <v>0</v>
      </c>
      <c r="K3">
        <v>0.21884444444444448</v>
      </c>
      <c r="L3">
        <v>0.68888888888888888</v>
      </c>
      <c r="M3" t="s">
        <v>10</v>
      </c>
      <c r="N3" t="s">
        <v>9</v>
      </c>
    </row>
    <row r="4" spans="1:14" x14ac:dyDescent="0.2">
      <c r="A4">
        <v>3</v>
      </c>
      <c r="B4" s="1">
        <v>46196</v>
      </c>
      <c r="C4" t="s">
        <v>27</v>
      </c>
      <c r="D4">
        <v>375</v>
      </c>
      <c r="E4">
        <v>59.975000000000001</v>
      </c>
      <c r="F4">
        <v>29.524999999999999</v>
      </c>
      <c r="G4">
        <v>29.425000000000001</v>
      </c>
      <c r="H4">
        <f>AVERAGE(20000, 20000, 12300, 15010)</f>
        <v>16827.5</v>
      </c>
      <c r="I4">
        <v>0.65</v>
      </c>
      <c r="J4">
        <v>0</v>
      </c>
      <c r="K4">
        <v>3.6111111111111108E-2</v>
      </c>
      <c r="L4">
        <v>0.75902777777777775</v>
      </c>
      <c r="M4" t="s">
        <v>40</v>
      </c>
    </row>
    <row r="5" spans="1:14" x14ac:dyDescent="0.2">
      <c r="A5">
        <v>4</v>
      </c>
      <c r="B5" s="1">
        <v>46197</v>
      </c>
      <c r="C5" t="s">
        <v>28</v>
      </c>
      <c r="D5">
        <v>586.25</v>
      </c>
      <c r="E5">
        <v>56.975000000000001</v>
      </c>
      <c r="F5">
        <v>29.65</v>
      </c>
      <c r="G5">
        <v>29.475000000000001</v>
      </c>
      <c r="H5" s="4">
        <v>20000</v>
      </c>
      <c r="I5">
        <v>0.55000000000000004</v>
      </c>
      <c r="J5">
        <v>0</v>
      </c>
      <c r="K5">
        <v>0.13749999999999998</v>
      </c>
      <c r="L5">
        <v>0.4</v>
      </c>
      <c r="M5" t="s">
        <v>11</v>
      </c>
      <c r="N5" t="s">
        <v>12</v>
      </c>
    </row>
    <row r="6" spans="1:14" x14ac:dyDescent="0.2">
      <c r="A6">
        <v>5</v>
      </c>
      <c r="B6" s="1">
        <v>46197</v>
      </c>
      <c r="C6" t="s">
        <v>28</v>
      </c>
      <c r="D6">
        <v>586.25</v>
      </c>
      <c r="E6">
        <v>56.975000000000001</v>
      </c>
      <c r="F6">
        <v>29.65</v>
      </c>
      <c r="G6">
        <v>29.475000000000001</v>
      </c>
      <c r="H6" s="4">
        <v>20000</v>
      </c>
      <c r="I6">
        <v>0.55000000000000004</v>
      </c>
      <c r="J6">
        <v>0</v>
      </c>
      <c r="K6">
        <v>0.13749999999999998</v>
      </c>
      <c r="L6">
        <v>0.42638888888888887</v>
      </c>
      <c r="M6" t="s">
        <v>41</v>
      </c>
    </row>
    <row r="7" spans="1:14" x14ac:dyDescent="0.2">
      <c r="A7">
        <v>6</v>
      </c>
      <c r="B7" s="1">
        <v>46197</v>
      </c>
      <c r="C7" t="s">
        <v>29</v>
      </c>
      <c r="D7">
        <v>883.25</v>
      </c>
      <c r="E7">
        <v>45.65</v>
      </c>
      <c r="F7">
        <v>36.299999999999997</v>
      </c>
      <c r="G7">
        <v>31.875</v>
      </c>
      <c r="H7" s="4">
        <v>20000</v>
      </c>
      <c r="I7">
        <v>0.9</v>
      </c>
      <c r="J7">
        <v>0</v>
      </c>
      <c r="K7">
        <v>9.5833333333333354E-2</v>
      </c>
      <c r="L7">
        <v>0.49722222222222223</v>
      </c>
      <c r="M7" t="s">
        <v>41</v>
      </c>
    </row>
    <row r="8" spans="1:14" x14ac:dyDescent="0.2">
      <c r="A8">
        <v>7</v>
      </c>
      <c r="B8" s="1">
        <v>46202</v>
      </c>
      <c r="C8" t="s">
        <v>28</v>
      </c>
      <c r="D8">
        <v>486.625</v>
      </c>
      <c r="E8">
        <v>52.45</v>
      </c>
      <c r="F8">
        <v>25.033333333333331</v>
      </c>
      <c r="G8">
        <v>23.95</v>
      </c>
      <c r="H8">
        <f>AVERAGE(20000, 12250, 20000, 20000)</f>
        <v>18062.5</v>
      </c>
      <c r="I8">
        <v>1.0499999999999998</v>
      </c>
      <c r="J8">
        <v>0</v>
      </c>
      <c r="K8">
        <v>5.8333333333333334E-2</v>
      </c>
      <c r="L8">
        <v>0.34861111111111109</v>
      </c>
      <c r="M8" t="s">
        <v>13</v>
      </c>
    </row>
    <row r="9" spans="1:14" x14ac:dyDescent="0.2">
      <c r="A9">
        <v>8</v>
      </c>
      <c r="B9" s="1">
        <v>46202</v>
      </c>
      <c r="C9" t="s">
        <v>28</v>
      </c>
      <c r="D9">
        <v>486.625</v>
      </c>
      <c r="E9">
        <v>52.45</v>
      </c>
      <c r="F9">
        <v>25.033333333333331</v>
      </c>
      <c r="G9">
        <v>23.95</v>
      </c>
      <c r="H9">
        <f t="shared" ref="H9:H11" si="0">AVERAGE(20000, 12250, 20000, 20000)</f>
        <v>18062.5</v>
      </c>
      <c r="I9">
        <v>1.0499999999999998</v>
      </c>
      <c r="J9">
        <v>0</v>
      </c>
      <c r="K9">
        <v>5.8333333333333334E-2</v>
      </c>
      <c r="L9">
        <v>0.35069444444444442</v>
      </c>
      <c r="M9" t="s">
        <v>14</v>
      </c>
    </row>
    <row r="10" spans="1:14" x14ac:dyDescent="0.2">
      <c r="A10">
        <v>9</v>
      </c>
      <c r="B10" s="1">
        <v>46202</v>
      </c>
      <c r="C10" t="s">
        <v>28</v>
      </c>
      <c r="D10">
        <v>486.625</v>
      </c>
      <c r="E10">
        <v>52.45</v>
      </c>
      <c r="F10">
        <v>25.033333333333331</v>
      </c>
      <c r="G10">
        <v>23.95</v>
      </c>
      <c r="H10">
        <f t="shared" si="0"/>
        <v>18062.5</v>
      </c>
      <c r="I10">
        <v>1.0499999999999998</v>
      </c>
      <c r="J10">
        <v>0</v>
      </c>
      <c r="K10">
        <v>5.8333333333333334E-2</v>
      </c>
      <c r="L10">
        <v>0.36041666666666666</v>
      </c>
      <c r="M10" t="s">
        <v>42</v>
      </c>
    </row>
    <row r="11" spans="1:14" x14ac:dyDescent="0.2">
      <c r="A11">
        <v>10</v>
      </c>
      <c r="B11" s="1">
        <v>46202</v>
      </c>
      <c r="C11" t="s">
        <v>28</v>
      </c>
      <c r="D11">
        <v>486.625</v>
      </c>
      <c r="E11">
        <v>52.45</v>
      </c>
      <c r="F11">
        <v>25.033333333333331</v>
      </c>
      <c r="G11">
        <v>23.95</v>
      </c>
      <c r="H11">
        <f t="shared" si="0"/>
        <v>18062.5</v>
      </c>
      <c r="I11">
        <v>1.0499999999999998</v>
      </c>
      <c r="J11">
        <v>0</v>
      </c>
      <c r="K11">
        <v>5.8333333333333334E-2</v>
      </c>
      <c r="L11">
        <v>0.39374999999999999</v>
      </c>
      <c r="M11" t="s">
        <v>41</v>
      </c>
    </row>
    <row r="12" spans="1:14" x14ac:dyDescent="0.2">
      <c r="A12">
        <v>11</v>
      </c>
      <c r="B12" s="1">
        <v>46202</v>
      </c>
      <c r="C12" t="s">
        <v>29</v>
      </c>
      <c r="D12">
        <v>721.5</v>
      </c>
      <c r="E12">
        <v>46.999999999999993</v>
      </c>
      <c r="F12">
        <v>27.700000000000003</v>
      </c>
      <c r="G12">
        <v>27.274999999999999</v>
      </c>
      <c r="H12" s="4">
        <v>20000</v>
      </c>
      <c r="I12">
        <v>1.5750000000000002</v>
      </c>
      <c r="J12">
        <v>0</v>
      </c>
      <c r="K12">
        <v>0.18382352941176472</v>
      </c>
      <c r="L12" t="s">
        <v>15</v>
      </c>
      <c r="M12" t="s">
        <v>15</v>
      </c>
    </row>
    <row r="13" spans="1:14" x14ac:dyDescent="0.2">
      <c r="A13">
        <v>12</v>
      </c>
      <c r="B13" s="1">
        <v>46204</v>
      </c>
      <c r="C13" t="s">
        <v>26</v>
      </c>
      <c r="D13">
        <v>154.17500000000001</v>
      </c>
      <c r="E13">
        <v>72.674999999999997</v>
      </c>
      <c r="F13">
        <v>22.125</v>
      </c>
      <c r="G13">
        <v>22.074999999999999</v>
      </c>
      <c r="H13">
        <f>AVERAGE(14180, 18260, 13890, 10880)</f>
        <v>14302.5</v>
      </c>
      <c r="I13">
        <v>0.05</v>
      </c>
      <c r="J13">
        <v>0</v>
      </c>
      <c r="K13">
        <v>0</v>
      </c>
      <c r="L13" t="s">
        <v>15</v>
      </c>
      <c r="M13" t="s">
        <v>15</v>
      </c>
    </row>
    <row r="14" spans="1:14" x14ac:dyDescent="0.2">
      <c r="A14">
        <v>13</v>
      </c>
      <c r="B14" s="1">
        <v>46204</v>
      </c>
      <c r="C14" t="s">
        <v>27</v>
      </c>
      <c r="D14">
        <v>78.7</v>
      </c>
      <c r="E14">
        <v>87.25</v>
      </c>
      <c r="F14">
        <v>17.149999999999999</v>
      </c>
      <c r="G14">
        <v>17.149999999999999</v>
      </c>
      <c r="H14">
        <f>AVERAGE(11170, 8601, 5480, 5930)</f>
        <v>7795.25</v>
      </c>
      <c r="I14">
        <v>0</v>
      </c>
      <c r="J14">
        <v>0</v>
      </c>
      <c r="K14">
        <v>0</v>
      </c>
      <c r="L14" t="s">
        <v>15</v>
      </c>
      <c r="M14" t="s">
        <v>15</v>
      </c>
    </row>
    <row r="15" spans="1:14" x14ac:dyDescent="0.2">
      <c r="A15">
        <v>14</v>
      </c>
      <c r="B15" s="1">
        <v>46205</v>
      </c>
      <c r="C15" t="s">
        <v>26</v>
      </c>
      <c r="D15">
        <v>562.25</v>
      </c>
      <c r="E15">
        <v>57.25</v>
      </c>
      <c r="F15">
        <v>24.975000000000001</v>
      </c>
      <c r="G15">
        <v>24.25</v>
      </c>
      <c r="H15" s="4">
        <v>20000</v>
      </c>
      <c r="I15">
        <v>1.4</v>
      </c>
      <c r="J15">
        <v>0</v>
      </c>
      <c r="K15">
        <v>0.18750000000000003</v>
      </c>
      <c r="L15" t="s">
        <v>15</v>
      </c>
      <c r="M15" t="s">
        <v>15</v>
      </c>
    </row>
    <row r="16" spans="1:14" x14ac:dyDescent="0.2">
      <c r="A16">
        <v>15</v>
      </c>
      <c r="B16" s="1">
        <v>46205</v>
      </c>
      <c r="C16" t="s">
        <v>27</v>
      </c>
      <c r="D16">
        <v>115.55</v>
      </c>
      <c r="E16">
        <v>61.7</v>
      </c>
      <c r="F16">
        <v>17.8</v>
      </c>
      <c r="G16">
        <v>17.774999999999999</v>
      </c>
      <c r="H16">
        <f>AVERAGE(13830, 14900, 8290, 3790)</f>
        <v>10202.5</v>
      </c>
      <c r="I16">
        <v>0.82499999999999996</v>
      </c>
      <c r="J16">
        <v>0</v>
      </c>
      <c r="K16">
        <v>9.7222222222222238E-2</v>
      </c>
      <c r="L16" t="s">
        <v>15</v>
      </c>
      <c r="M16" t="s">
        <v>15</v>
      </c>
    </row>
    <row r="17" spans="1:14" x14ac:dyDescent="0.2">
      <c r="A17">
        <v>16</v>
      </c>
      <c r="B17" s="1">
        <v>46206</v>
      </c>
      <c r="C17" t="s">
        <v>28</v>
      </c>
      <c r="D17">
        <v>405.75</v>
      </c>
      <c r="E17">
        <v>56.35</v>
      </c>
      <c r="F17">
        <v>21.049999999999997</v>
      </c>
      <c r="G17">
        <v>20.85</v>
      </c>
      <c r="H17" s="4">
        <v>20000</v>
      </c>
      <c r="I17">
        <v>1</v>
      </c>
      <c r="J17">
        <v>0</v>
      </c>
      <c r="K17">
        <v>6.25E-2</v>
      </c>
      <c r="L17" t="s">
        <v>15</v>
      </c>
      <c r="M17" t="s">
        <v>15</v>
      </c>
    </row>
    <row r="18" spans="1:14" x14ac:dyDescent="0.2">
      <c r="A18">
        <v>17</v>
      </c>
      <c r="B18" s="1">
        <v>46206</v>
      </c>
      <c r="C18" t="s">
        <v>29</v>
      </c>
      <c r="D18">
        <v>664</v>
      </c>
      <c r="E18">
        <v>47.174999999999997</v>
      </c>
      <c r="F18">
        <v>25.074999999999996</v>
      </c>
      <c r="G18">
        <v>24.924999999999997</v>
      </c>
      <c r="H18" s="4">
        <v>20000</v>
      </c>
      <c r="I18">
        <v>1.45</v>
      </c>
      <c r="J18">
        <v>0</v>
      </c>
      <c r="K18">
        <v>0.18472222222222223</v>
      </c>
      <c r="L18" t="s">
        <v>15</v>
      </c>
      <c r="M18" t="s">
        <v>15</v>
      </c>
    </row>
    <row r="19" spans="1:14" x14ac:dyDescent="0.2">
      <c r="A19">
        <v>18</v>
      </c>
      <c r="B19" s="1">
        <v>46209</v>
      </c>
      <c r="C19" t="s">
        <v>28</v>
      </c>
      <c r="D19">
        <v>69.224999999999994</v>
      </c>
      <c r="E19">
        <v>72.674999999999997</v>
      </c>
      <c r="F19">
        <v>18.3</v>
      </c>
      <c r="G19">
        <v>18.274999999999999</v>
      </c>
      <c r="H19">
        <f>AVERAGE(4790, 3030, 8860, 11530)</f>
        <v>7052.5</v>
      </c>
      <c r="I19">
        <v>0.90000000000000013</v>
      </c>
      <c r="J19">
        <v>0</v>
      </c>
      <c r="K19">
        <v>4.1666666666666664E-2</v>
      </c>
      <c r="L19">
        <v>0.37152777777777779</v>
      </c>
      <c r="M19" t="s">
        <v>43</v>
      </c>
    </row>
    <row r="20" spans="1:14" x14ac:dyDescent="0.2">
      <c r="A20">
        <v>19</v>
      </c>
      <c r="B20" s="1">
        <v>46209</v>
      </c>
      <c r="C20" t="s">
        <v>28</v>
      </c>
      <c r="D20">
        <v>69.224999999999994</v>
      </c>
      <c r="E20">
        <v>72.674999999999997</v>
      </c>
      <c r="F20">
        <v>18.3</v>
      </c>
      <c r="G20">
        <v>18.274999999999999</v>
      </c>
      <c r="H20">
        <f>AVERAGE(4790, 3030, 8860, 11530)</f>
        <v>7052.5</v>
      </c>
      <c r="I20">
        <v>0.90000000000000013</v>
      </c>
      <c r="J20">
        <v>0</v>
      </c>
      <c r="K20">
        <v>4.1666666666666664E-2</v>
      </c>
      <c r="L20">
        <v>0.42986111111111114</v>
      </c>
      <c r="M20" t="s">
        <v>46</v>
      </c>
    </row>
    <row r="21" spans="1:14" x14ac:dyDescent="0.2">
      <c r="A21">
        <v>20</v>
      </c>
      <c r="B21" s="1">
        <v>46209</v>
      </c>
      <c r="C21" t="s">
        <v>29</v>
      </c>
      <c r="D21">
        <v>95.924999999999983</v>
      </c>
      <c r="E21">
        <v>73.599999999999994</v>
      </c>
      <c r="F21">
        <v>18.125</v>
      </c>
      <c r="G21">
        <v>18.125</v>
      </c>
      <c r="H21">
        <f>AVERAGE(11530, 14420, 13820, 12770)</f>
        <v>13135</v>
      </c>
      <c r="I21">
        <v>1.3250000000000002</v>
      </c>
      <c r="J21">
        <v>0</v>
      </c>
      <c r="K21">
        <v>0.10138888888888889</v>
      </c>
      <c r="L21" t="s">
        <v>15</v>
      </c>
      <c r="M21" t="s">
        <v>15</v>
      </c>
    </row>
    <row r="22" spans="1:14" x14ac:dyDescent="0.2">
      <c r="A22">
        <v>21</v>
      </c>
      <c r="B22" s="1">
        <v>46210</v>
      </c>
      <c r="C22" t="s">
        <v>26</v>
      </c>
      <c r="D22">
        <v>307.65000000000003</v>
      </c>
      <c r="E22">
        <v>68.674999999999997</v>
      </c>
      <c r="F22">
        <v>22.3</v>
      </c>
      <c r="G22">
        <v>21.674999999999997</v>
      </c>
      <c r="H22">
        <f>AVERAGE(20000,20000,16960, 10780)</f>
        <v>16935</v>
      </c>
      <c r="I22">
        <v>0.67500000000000004</v>
      </c>
      <c r="J22">
        <v>0</v>
      </c>
      <c r="K22">
        <v>2.3611111111111114E-2</v>
      </c>
      <c r="L22" t="s">
        <v>15</v>
      </c>
      <c r="M22" t="s">
        <v>15</v>
      </c>
    </row>
    <row r="23" spans="1:14" x14ac:dyDescent="0.2">
      <c r="A23">
        <v>22</v>
      </c>
      <c r="B23" s="1">
        <v>46210</v>
      </c>
      <c r="C23" t="s">
        <v>27</v>
      </c>
      <c r="D23">
        <v>93.325000000000003</v>
      </c>
      <c r="E23">
        <v>77.025000000000006</v>
      </c>
      <c r="F23">
        <v>19.625</v>
      </c>
      <c r="G23">
        <v>19.649999999999999</v>
      </c>
      <c r="H23">
        <f>AVERAGE(5690, 6801, 13890, 10140)</f>
        <v>9130.25</v>
      </c>
      <c r="I23">
        <v>0.5</v>
      </c>
      <c r="J23">
        <v>0</v>
      </c>
      <c r="K23">
        <v>4.1666666666666671E-2</v>
      </c>
      <c r="L23">
        <v>0.78819444444444442</v>
      </c>
      <c r="M23" t="s">
        <v>44</v>
      </c>
    </row>
    <row r="24" spans="1:14" x14ac:dyDescent="0.2">
      <c r="A24">
        <v>23</v>
      </c>
      <c r="B24" s="1">
        <v>46212</v>
      </c>
      <c r="C24" t="s">
        <v>28</v>
      </c>
      <c r="D24">
        <v>690.75</v>
      </c>
      <c r="E24">
        <v>57.5</v>
      </c>
      <c r="F24">
        <v>27.9</v>
      </c>
      <c r="G24">
        <v>27.25</v>
      </c>
      <c r="H24">
        <v>20000</v>
      </c>
      <c r="I24">
        <v>0.3</v>
      </c>
      <c r="J24">
        <v>0</v>
      </c>
      <c r="K24">
        <v>1.6666666666666666E-2</v>
      </c>
      <c r="L24">
        <v>0.41180555555555554</v>
      </c>
      <c r="M24" t="s">
        <v>41</v>
      </c>
    </row>
    <row r="25" spans="1:14" x14ac:dyDescent="0.2">
      <c r="A25">
        <v>24</v>
      </c>
      <c r="B25" s="1">
        <v>46212</v>
      </c>
      <c r="C25" t="s">
        <v>29</v>
      </c>
      <c r="D25">
        <v>806.75</v>
      </c>
      <c r="E25">
        <v>44.75</v>
      </c>
      <c r="F25">
        <v>33.424999999999997</v>
      </c>
      <c r="G25">
        <v>31.6</v>
      </c>
      <c r="H25">
        <v>20000</v>
      </c>
      <c r="I25">
        <v>1.45</v>
      </c>
      <c r="J25">
        <v>0</v>
      </c>
      <c r="K25">
        <v>0.1986111111111111</v>
      </c>
      <c r="L25">
        <v>0.51736111111111116</v>
      </c>
      <c r="M25" t="s">
        <v>47</v>
      </c>
      <c r="N25" t="s">
        <v>17</v>
      </c>
    </row>
    <row r="26" spans="1:14" x14ac:dyDescent="0.2">
      <c r="A26">
        <v>25</v>
      </c>
      <c r="B26" s="1">
        <v>46213</v>
      </c>
      <c r="C26" t="s">
        <v>26</v>
      </c>
      <c r="D26">
        <v>737.5</v>
      </c>
      <c r="E26">
        <v>55.250000000000007</v>
      </c>
      <c r="F26">
        <v>25.75</v>
      </c>
      <c r="G26">
        <v>24.7</v>
      </c>
      <c r="H26">
        <v>20000</v>
      </c>
      <c r="I26">
        <v>2.7250000000000005</v>
      </c>
      <c r="J26">
        <v>0.25</v>
      </c>
      <c r="K26">
        <v>1.6810457516339867</v>
      </c>
      <c r="L26" t="s">
        <v>15</v>
      </c>
      <c r="M26" t="s">
        <v>15</v>
      </c>
    </row>
    <row r="27" spans="1:14" x14ac:dyDescent="0.2">
      <c r="A27">
        <v>26</v>
      </c>
      <c r="B27" s="1">
        <v>46213</v>
      </c>
      <c r="C27" t="s">
        <v>27</v>
      </c>
      <c r="D27">
        <v>422.25</v>
      </c>
      <c r="E27">
        <v>64.524999999999991</v>
      </c>
      <c r="F27">
        <v>22.074999999999996</v>
      </c>
      <c r="G27">
        <v>21.4</v>
      </c>
      <c r="H27">
        <v>20000</v>
      </c>
      <c r="I27">
        <v>2.25</v>
      </c>
      <c r="J27">
        <v>0</v>
      </c>
      <c r="K27">
        <v>1.2659313725490196</v>
      </c>
      <c r="L27">
        <v>0.75972222222222219</v>
      </c>
      <c r="M27" t="s">
        <v>48</v>
      </c>
    </row>
    <row r="28" spans="1:14" x14ac:dyDescent="0.2">
      <c r="A28">
        <v>27</v>
      </c>
      <c r="B28" s="1">
        <v>46216</v>
      </c>
      <c r="C28" t="s">
        <v>28</v>
      </c>
      <c r="D28">
        <v>461.375</v>
      </c>
      <c r="E28">
        <v>57.849999999999994</v>
      </c>
      <c r="F28">
        <v>21.35</v>
      </c>
      <c r="G28">
        <v>20.375</v>
      </c>
      <c r="H28">
        <f>AVERAGE(14070, 16070, 20000, 20000)</f>
        <v>17535</v>
      </c>
      <c r="I28">
        <v>2.15</v>
      </c>
      <c r="J28">
        <v>2.5000000000000001E-2</v>
      </c>
      <c r="K28">
        <v>1.1527777777777777</v>
      </c>
      <c r="L28" t="s">
        <v>15</v>
      </c>
      <c r="M28" t="s">
        <v>15</v>
      </c>
    </row>
    <row r="29" spans="1:14" x14ac:dyDescent="0.2">
      <c r="A29">
        <v>28</v>
      </c>
      <c r="B29" s="1">
        <v>46216</v>
      </c>
      <c r="C29" t="s">
        <v>29</v>
      </c>
      <c r="D29">
        <v>915</v>
      </c>
      <c r="E29">
        <v>44.4</v>
      </c>
      <c r="F29">
        <v>28.25</v>
      </c>
      <c r="G29">
        <v>25.725000000000001</v>
      </c>
      <c r="H29" s="4">
        <v>20000</v>
      </c>
      <c r="I29">
        <v>2.5</v>
      </c>
      <c r="J29">
        <v>0.2</v>
      </c>
      <c r="K29">
        <v>1.253921568627451</v>
      </c>
      <c r="L29" t="s">
        <v>15</v>
      </c>
      <c r="M29" t="s">
        <v>15</v>
      </c>
    </row>
    <row r="30" spans="1:14" x14ac:dyDescent="0.2">
      <c r="A30">
        <v>29</v>
      </c>
      <c r="B30" s="1">
        <v>46217</v>
      </c>
      <c r="C30" t="s">
        <v>26</v>
      </c>
      <c r="D30">
        <v>641.5</v>
      </c>
      <c r="E30">
        <v>51.025000000000006</v>
      </c>
      <c r="F30">
        <v>24.625</v>
      </c>
      <c r="G30">
        <v>23.875</v>
      </c>
      <c r="H30" s="4">
        <v>20000</v>
      </c>
      <c r="I30">
        <v>2.6</v>
      </c>
      <c r="J30">
        <v>0.17500000000000002</v>
      </c>
      <c r="K30">
        <v>1.4999999999999998</v>
      </c>
      <c r="L30">
        <v>0.60833333333333328</v>
      </c>
      <c r="M30" t="s">
        <v>45</v>
      </c>
    </row>
    <row r="31" spans="1:14" x14ac:dyDescent="0.2">
      <c r="A31">
        <v>30</v>
      </c>
      <c r="B31" s="1">
        <v>46217</v>
      </c>
      <c r="C31" t="s">
        <v>26</v>
      </c>
      <c r="D31">
        <v>641.5</v>
      </c>
      <c r="E31">
        <v>51.025000000000006</v>
      </c>
      <c r="F31">
        <v>24.625</v>
      </c>
      <c r="G31">
        <v>23.875</v>
      </c>
      <c r="H31" s="4">
        <v>20000</v>
      </c>
      <c r="I31">
        <v>2.6</v>
      </c>
      <c r="J31">
        <v>0.17500000000000002</v>
      </c>
      <c r="K31">
        <v>1.4999999999999998</v>
      </c>
      <c r="L31">
        <v>0.61527777777777781</v>
      </c>
      <c r="M31" t="s">
        <v>47</v>
      </c>
      <c r="N31" t="s">
        <v>16</v>
      </c>
    </row>
    <row r="32" spans="1:14" x14ac:dyDescent="0.2">
      <c r="A32">
        <v>31</v>
      </c>
      <c r="B32" s="1">
        <v>46217</v>
      </c>
      <c r="C32" t="s">
        <v>27</v>
      </c>
      <c r="D32">
        <v>564.75</v>
      </c>
      <c r="E32">
        <v>54.375</v>
      </c>
      <c r="F32">
        <v>22.224999999999998</v>
      </c>
      <c r="G32">
        <v>22.175000000000001</v>
      </c>
      <c r="H32" s="4">
        <v>20000</v>
      </c>
      <c r="I32">
        <v>2.5750000000000002</v>
      </c>
      <c r="J32">
        <v>2.5000000000000001E-2</v>
      </c>
      <c r="K32">
        <v>1.4347222222222222</v>
      </c>
      <c r="L32" t="s">
        <v>15</v>
      </c>
      <c r="M32" t="s">
        <v>15</v>
      </c>
    </row>
    <row r="33" spans="1:14" x14ac:dyDescent="0.2">
      <c r="A33">
        <v>32</v>
      </c>
      <c r="B33" s="1">
        <v>46219</v>
      </c>
      <c r="C33" t="s">
        <v>28</v>
      </c>
      <c r="D33">
        <v>220.42500000000001</v>
      </c>
      <c r="E33">
        <v>63.2</v>
      </c>
      <c r="F33">
        <v>19.700000000000003</v>
      </c>
      <c r="G33">
        <v>19.700000000000003</v>
      </c>
      <c r="H33">
        <f>AVERAGE(9110, 15510, 18380, 20000)</f>
        <v>15750</v>
      </c>
      <c r="I33">
        <v>0.77500000000000002</v>
      </c>
      <c r="J33">
        <v>0</v>
      </c>
      <c r="K33">
        <v>8.3333333333333343E-2</v>
      </c>
      <c r="L33">
        <v>0.34513888888888888</v>
      </c>
      <c r="M33" t="s">
        <v>48</v>
      </c>
      <c r="N33" t="s">
        <v>16</v>
      </c>
    </row>
    <row r="34" spans="1:14" x14ac:dyDescent="0.2">
      <c r="A34">
        <v>33</v>
      </c>
      <c r="B34" s="1">
        <v>46219</v>
      </c>
      <c r="C34" t="s">
        <v>28</v>
      </c>
      <c r="D34">
        <v>220.42500000000001</v>
      </c>
      <c r="E34">
        <v>63.2</v>
      </c>
      <c r="F34">
        <v>19.700000000000003</v>
      </c>
      <c r="G34">
        <v>19.700000000000003</v>
      </c>
      <c r="H34">
        <f t="shared" ref="H34:H35" si="1">AVERAGE(9110, 15510, 18380, 20000)</f>
        <v>15750</v>
      </c>
      <c r="I34">
        <v>0.77500000000000002</v>
      </c>
      <c r="J34">
        <v>0</v>
      </c>
      <c r="K34">
        <v>8.3333333333333343E-2</v>
      </c>
      <c r="L34">
        <v>0.3659722222222222</v>
      </c>
      <c r="M34" t="s">
        <v>49</v>
      </c>
    </row>
    <row r="35" spans="1:14" x14ac:dyDescent="0.2">
      <c r="A35">
        <v>34</v>
      </c>
      <c r="B35" s="1">
        <v>46219</v>
      </c>
      <c r="C35" t="s">
        <v>28</v>
      </c>
      <c r="D35">
        <v>220.42500000000001</v>
      </c>
      <c r="E35">
        <v>63.2</v>
      </c>
      <c r="F35">
        <v>19.700000000000003</v>
      </c>
      <c r="G35">
        <v>19.700000000000003</v>
      </c>
      <c r="H35">
        <f t="shared" si="1"/>
        <v>15750</v>
      </c>
      <c r="I35">
        <v>0.77500000000000002</v>
      </c>
      <c r="J35">
        <v>0</v>
      </c>
      <c r="K35">
        <v>8.3333333333333343E-2</v>
      </c>
      <c r="L35">
        <v>0.38055555555555554</v>
      </c>
      <c r="M35" t="s">
        <v>46</v>
      </c>
      <c r="N35" t="s">
        <v>16</v>
      </c>
    </row>
    <row r="36" spans="1:14" x14ac:dyDescent="0.2">
      <c r="A36">
        <v>35</v>
      </c>
      <c r="B36" s="1">
        <v>46219</v>
      </c>
      <c r="C36" t="s">
        <v>29</v>
      </c>
      <c r="D36">
        <v>750</v>
      </c>
      <c r="E36">
        <v>51.55</v>
      </c>
      <c r="F36">
        <v>26.7</v>
      </c>
      <c r="G36">
        <v>25.95</v>
      </c>
      <c r="H36" s="4">
        <v>20000</v>
      </c>
      <c r="I36">
        <v>1.375</v>
      </c>
      <c r="J36">
        <v>2.5000000000000001E-2</v>
      </c>
      <c r="K36">
        <v>0.4291666666666667</v>
      </c>
      <c r="L36">
        <v>0.55138888888888893</v>
      </c>
      <c r="M36" t="s">
        <v>48</v>
      </c>
      <c r="N36" t="s">
        <v>17</v>
      </c>
    </row>
    <row r="37" spans="1:14" x14ac:dyDescent="0.2">
      <c r="A37">
        <v>36</v>
      </c>
      <c r="B37" s="1">
        <v>46251</v>
      </c>
      <c r="C37" t="s">
        <v>26</v>
      </c>
      <c r="D37">
        <v>835.25</v>
      </c>
      <c r="E37">
        <v>52.95</v>
      </c>
      <c r="F37">
        <v>27.249999999999996</v>
      </c>
      <c r="G37">
        <v>25.375</v>
      </c>
      <c r="H37" s="4">
        <v>20000</v>
      </c>
      <c r="I37">
        <v>2.2999999999999998</v>
      </c>
      <c r="J37">
        <v>0.32500000000000001</v>
      </c>
      <c r="K37">
        <v>1.4263888888888889</v>
      </c>
      <c r="L37">
        <v>0.64027777777777772</v>
      </c>
      <c r="M37" t="s">
        <v>50</v>
      </c>
      <c r="N37" t="s">
        <v>16</v>
      </c>
    </row>
    <row r="38" spans="1:14" x14ac:dyDescent="0.2">
      <c r="A38">
        <v>37</v>
      </c>
      <c r="B38" s="1">
        <v>46251</v>
      </c>
      <c r="C38" t="s">
        <v>27</v>
      </c>
      <c r="D38">
        <v>548.5</v>
      </c>
      <c r="E38">
        <v>56.774999999999999</v>
      </c>
      <c r="F38">
        <v>22.774999999999999</v>
      </c>
      <c r="G38">
        <v>22.299999999999997</v>
      </c>
      <c r="H38" s="4">
        <v>20000</v>
      </c>
      <c r="I38">
        <v>2.1749999999999998</v>
      </c>
      <c r="J38">
        <v>0.05</v>
      </c>
      <c r="K38">
        <v>1.1208333333333333</v>
      </c>
      <c r="L38" t="s">
        <v>15</v>
      </c>
      <c r="M3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84E74-CE0A-214D-889F-E511955B9768}">
  <dimension ref="A1:U38"/>
  <sheetViews>
    <sheetView tabSelected="1" topLeftCell="H1" workbookViewId="0">
      <selection activeCell="R25" sqref="R25"/>
    </sheetView>
  </sheetViews>
  <sheetFormatPr baseColWidth="10" defaultRowHeight="16" x14ac:dyDescent="0.2"/>
  <cols>
    <col min="2" max="2" width="15" customWidth="1"/>
    <col min="10" max="10" width="12.5" customWidth="1"/>
    <col min="11" max="11" width="24.33203125" customWidth="1"/>
    <col min="12" max="12" width="22.33203125" customWidth="1"/>
    <col min="13" max="13" width="20.6640625" customWidth="1"/>
    <col min="14" max="14" width="19.33203125" customWidth="1"/>
    <col min="15" max="15" width="23.1640625" customWidth="1"/>
    <col min="16" max="16" width="24.6640625" customWidth="1"/>
    <col min="21" max="21" width="17.83203125" customWidth="1"/>
  </cols>
  <sheetData>
    <row r="1" spans="1:21" s="2" customFormat="1" x14ac:dyDescent="0.2">
      <c r="A1" s="2" t="s">
        <v>18</v>
      </c>
      <c r="B1" s="3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24</v>
      </c>
      <c r="M1" s="2" t="s">
        <v>25</v>
      </c>
      <c r="N1" s="2" t="s">
        <v>51</v>
      </c>
      <c r="O1" s="2" t="s">
        <v>52</v>
      </c>
      <c r="P1" s="2" t="s">
        <v>53</v>
      </c>
    </row>
    <row r="2" spans="1:21" x14ac:dyDescent="0.2">
      <c r="A2">
        <v>1</v>
      </c>
      <c r="B2" s="1">
        <v>46196</v>
      </c>
      <c r="C2" t="s">
        <v>26</v>
      </c>
      <c r="D2">
        <v>621.20000000000005</v>
      </c>
      <c r="E2">
        <v>52.44</v>
      </c>
      <c r="F2">
        <v>32.5</v>
      </c>
      <c r="G2">
        <v>30.08</v>
      </c>
      <c r="H2" s="4">
        <v>20000</v>
      </c>
      <c r="I2">
        <v>0.52</v>
      </c>
      <c r="J2">
        <v>0</v>
      </c>
      <c r="K2">
        <v>0.21884444444444448</v>
      </c>
      <c r="L2">
        <v>2</v>
      </c>
      <c r="M2">
        <v>29</v>
      </c>
      <c r="N2">
        <v>6.8965517241379309E-2</v>
      </c>
      <c r="O2">
        <v>7.6628352490421458E-4</v>
      </c>
      <c r="P2">
        <v>22</v>
      </c>
      <c r="U2" s="4"/>
    </row>
    <row r="3" spans="1:21" x14ac:dyDescent="0.2">
      <c r="A3">
        <v>3</v>
      </c>
      <c r="B3" s="1">
        <v>46196</v>
      </c>
      <c r="C3" t="s">
        <v>27</v>
      </c>
      <c r="D3">
        <v>375</v>
      </c>
      <c r="E3">
        <v>59.975000000000001</v>
      </c>
      <c r="F3">
        <v>29.524999999999999</v>
      </c>
      <c r="G3">
        <v>29.425000000000001</v>
      </c>
      <c r="H3">
        <f>AVERAGE(20000, 20000, 12300, 15010)</f>
        <v>16827.5</v>
      </c>
      <c r="I3">
        <v>0.65</v>
      </c>
      <c r="J3">
        <v>0</v>
      </c>
      <c r="K3">
        <v>3.6111111111111108E-2</v>
      </c>
      <c r="L3">
        <v>1</v>
      </c>
      <c r="M3">
        <v>29</v>
      </c>
      <c r="N3">
        <v>3.4482758620689655E-2</v>
      </c>
      <c r="O3">
        <v>3.8314176245210729E-4</v>
      </c>
      <c r="P3">
        <v>22</v>
      </c>
      <c r="U3" s="4"/>
    </row>
    <row r="4" spans="1:21" x14ac:dyDescent="0.2">
      <c r="A4">
        <v>4</v>
      </c>
      <c r="B4" s="1">
        <v>46197</v>
      </c>
      <c r="C4" t="s">
        <v>28</v>
      </c>
      <c r="D4">
        <v>586.25</v>
      </c>
      <c r="E4">
        <v>56.975000000000001</v>
      </c>
      <c r="F4">
        <v>29.65</v>
      </c>
      <c r="G4">
        <v>29.475000000000001</v>
      </c>
      <c r="H4" s="4">
        <v>20000</v>
      </c>
      <c r="I4">
        <v>0.55000000000000004</v>
      </c>
      <c r="J4">
        <v>0</v>
      </c>
      <c r="K4">
        <v>0.13749999999999998</v>
      </c>
      <c r="L4">
        <v>2</v>
      </c>
      <c r="M4">
        <v>51</v>
      </c>
      <c r="N4">
        <v>3.9215686274509803E-2</v>
      </c>
      <c r="O4">
        <v>4.3572984749455336E-4</v>
      </c>
      <c r="P4">
        <v>24</v>
      </c>
    </row>
    <row r="5" spans="1:21" x14ac:dyDescent="0.2">
      <c r="A5">
        <v>6</v>
      </c>
      <c r="B5" s="1">
        <v>46197</v>
      </c>
      <c r="C5" t="s">
        <v>29</v>
      </c>
      <c r="D5">
        <v>883.25</v>
      </c>
      <c r="E5">
        <v>45.65</v>
      </c>
      <c r="F5">
        <v>36.299999999999997</v>
      </c>
      <c r="G5">
        <v>31.875</v>
      </c>
      <c r="H5" s="4">
        <v>20000</v>
      </c>
      <c r="I5">
        <v>0.9</v>
      </c>
      <c r="J5">
        <v>0</v>
      </c>
      <c r="K5">
        <v>9.5833333333333354E-2</v>
      </c>
      <c r="L5">
        <v>1</v>
      </c>
      <c r="M5">
        <v>51</v>
      </c>
      <c r="N5">
        <v>1.9607843137254902E-2</v>
      </c>
      <c r="O5">
        <v>2.1786492374727668E-4</v>
      </c>
      <c r="P5">
        <v>24</v>
      </c>
      <c r="U5" s="4"/>
    </row>
    <row r="6" spans="1:21" x14ac:dyDescent="0.2">
      <c r="A6">
        <v>7</v>
      </c>
      <c r="B6" s="1">
        <v>46202</v>
      </c>
      <c r="C6" t="s">
        <v>28</v>
      </c>
      <c r="D6">
        <v>486.625</v>
      </c>
      <c r="E6">
        <v>52.45</v>
      </c>
      <c r="F6">
        <v>25.033333333333331</v>
      </c>
      <c r="G6">
        <v>23.95</v>
      </c>
      <c r="H6">
        <f>AVERAGE(20000, 12250, 20000, 20000)</f>
        <v>18062.5</v>
      </c>
      <c r="I6">
        <v>1.0499999999999998</v>
      </c>
      <c r="J6">
        <v>0</v>
      </c>
      <c r="K6">
        <v>5.8333333333333334E-2</v>
      </c>
      <c r="L6">
        <v>4</v>
      </c>
      <c r="M6">
        <v>9</v>
      </c>
      <c r="N6">
        <v>0.44444444444444442</v>
      </c>
      <c r="O6">
        <v>4.9382716049382715E-3</v>
      </c>
      <c r="P6">
        <v>4</v>
      </c>
      <c r="U6" s="4"/>
    </row>
    <row r="7" spans="1:21" x14ac:dyDescent="0.2">
      <c r="A7">
        <v>11</v>
      </c>
      <c r="B7" s="1">
        <v>46202</v>
      </c>
      <c r="C7" t="s">
        <v>29</v>
      </c>
      <c r="D7">
        <v>721.5</v>
      </c>
      <c r="E7">
        <v>46.999999999999993</v>
      </c>
      <c r="F7">
        <v>27.700000000000003</v>
      </c>
      <c r="G7">
        <v>27.274999999999999</v>
      </c>
      <c r="H7" s="4">
        <v>20000</v>
      </c>
      <c r="I7">
        <v>1.5750000000000002</v>
      </c>
      <c r="J7">
        <v>0</v>
      </c>
      <c r="K7">
        <v>0.18382352941176472</v>
      </c>
      <c r="L7">
        <v>0</v>
      </c>
      <c r="M7">
        <v>9</v>
      </c>
      <c r="N7">
        <v>0</v>
      </c>
      <c r="O7">
        <v>0</v>
      </c>
      <c r="P7">
        <v>4</v>
      </c>
      <c r="U7" s="4"/>
    </row>
    <row r="8" spans="1:21" x14ac:dyDescent="0.2">
      <c r="A8">
        <v>12</v>
      </c>
      <c r="B8" s="1">
        <v>46204</v>
      </c>
      <c r="C8" t="s">
        <v>26</v>
      </c>
      <c r="D8">
        <v>154.17500000000001</v>
      </c>
      <c r="E8">
        <v>72.674999999999997</v>
      </c>
      <c r="F8">
        <v>22.125</v>
      </c>
      <c r="G8">
        <v>22.074999999999999</v>
      </c>
      <c r="H8">
        <f>AVERAGE(14180, 18260, 13890, 10880)</f>
        <v>14302.5</v>
      </c>
      <c r="I8">
        <v>0.05</v>
      </c>
      <c r="J8">
        <v>0</v>
      </c>
      <c r="K8">
        <v>0</v>
      </c>
      <c r="L8">
        <v>0</v>
      </c>
      <c r="M8">
        <v>13</v>
      </c>
      <c r="N8">
        <v>0</v>
      </c>
      <c r="O8">
        <v>0</v>
      </c>
      <c r="P8">
        <v>5</v>
      </c>
    </row>
    <row r="9" spans="1:21" x14ac:dyDescent="0.2">
      <c r="A9">
        <v>13</v>
      </c>
      <c r="B9" s="1">
        <v>46204</v>
      </c>
      <c r="C9" t="s">
        <v>27</v>
      </c>
      <c r="D9">
        <v>78.7</v>
      </c>
      <c r="E9">
        <v>87.25</v>
      </c>
      <c r="F9">
        <v>17.149999999999999</v>
      </c>
      <c r="G9">
        <v>17.149999999999999</v>
      </c>
      <c r="H9">
        <f>AVERAGE(11170, 8601, 5480, 5930)</f>
        <v>7795.25</v>
      </c>
      <c r="I9">
        <v>0</v>
      </c>
      <c r="J9">
        <v>0</v>
      </c>
      <c r="K9">
        <v>0</v>
      </c>
      <c r="L9">
        <v>0</v>
      </c>
      <c r="M9">
        <v>13</v>
      </c>
      <c r="N9">
        <v>0</v>
      </c>
      <c r="O9">
        <v>0</v>
      </c>
      <c r="P9">
        <v>5</v>
      </c>
    </row>
    <row r="10" spans="1:21" x14ac:dyDescent="0.2">
      <c r="A10">
        <v>14</v>
      </c>
      <c r="B10" s="1">
        <v>46205</v>
      </c>
      <c r="C10" t="s">
        <v>26</v>
      </c>
      <c r="D10">
        <v>562.25</v>
      </c>
      <c r="E10">
        <v>57.25</v>
      </c>
      <c r="F10">
        <v>24.975000000000001</v>
      </c>
      <c r="G10">
        <v>24.25</v>
      </c>
      <c r="H10" s="4">
        <v>20000</v>
      </c>
      <c r="I10">
        <v>1.4</v>
      </c>
      <c r="J10">
        <v>0</v>
      </c>
      <c r="K10">
        <v>0.18750000000000003</v>
      </c>
      <c r="L10">
        <v>0</v>
      </c>
      <c r="M10">
        <v>9</v>
      </c>
      <c r="N10">
        <v>0</v>
      </c>
      <c r="O10">
        <v>0</v>
      </c>
      <c r="P10">
        <v>4</v>
      </c>
    </row>
    <row r="11" spans="1:21" x14ac:dyDescent="0.2">
      <c r="A11">
        <v>15</v>
      </c>
      <c r="B11" s="1">
        <v>46205</v>
      </c>
      <c r="C11" t="s">
        <v>27</v>
      </c>
      <c r="D11">
        <v>115.55</v>
      </c>
      <c r="E11">
        <v>61.7</v>
      </c>
      <c r="F11">
        <v>17.8</v>
      </c>
      <c r="G11">
        <v>17.774999999999999</v>
      </c>
      <c r="H11">
        <f>AVERAGE(13830, 14900, 8290, 3790)</f>
        <v>10202.5</v>
      </c>
      <c r="I11">
        <v>0.82499999999999996</v>
      </c>
      <c r="J11">
        <v>0</v>
      </c>
      <c r="K11">
        <v>9.7222222222222238E-2</v>
      </c>
      <c r="L11">
        <v>0</v>
      </c>
      <c r="M11">
        <v>9</v>
      </c>
      <c r="N11">
        <v>0</v>
      </c>
      <c r="O11">
        <v>0</v>
      </c>
      <c r="P11">
        <v>4</v>
      </c>
    </row>
    <row r="12" spans="1:21" x14ac:dyDescent="0.2">
      <c r="A12">
        <v>16</v>
      </c>
      <c r="B12" s="1">
        <v>46206</v>
      </c>
      <c r="C12" t="s">
        <v>28</v>
      </c>
      <c r="D12">
        <v>405.75</v>
      </c>
      <c r="E12">
        <v>56.35</v>
      </c>
      <c r="F12">
        <v>21.049999999999997</v>
      </c>
      <c r="G12">
        <v>20.85</v>
      </c>
      <c r="H12" s="4">
        <v>20000</v>
      </c>
      <c r="I12">
        <v>1</v>
      </c>
      <c r="J12">
        <v>0</v>
      </c>
      <c r="K12">
        <v>6.25E-2</v>
      </c>
      <c r="L12">
        <v>0</v>
      </c>
      <c r="M12">
        <v>11</v>
      </c>
      <c r="N12">
        <v>0</v>
      </c>
      <c r="O12">
        <v>0</v>
      </c>
      <c r="P12">
        <v>3</v>
      </c>
      <c r="U12" s="4"/>
    </row>
    <row r="13" spans="1:21" x14ac:dyDescent="0.2">
      <c r="A13">
        <v>17</v>
      </c>
      <c r="B13" s="1">
        <v>46206</v>
      </c>
      <c r="C13" t="s">
        <v>29</v>
      </c>
      <c r="D13">
        <v>664</v>
      </c>
      <c r="E13">
        <v>47.174999999999997</v>
      </c>
      <c r="F13">
        <v>25.074999999999996</v>
      </c>
      <c r="G13">
        <v>24.924999999999997</v>
      </c>
      <c r="H13" s="4">
        <v>20000</v>
      </c>
      <c r="I13">
        <v>1.45</v>
      </c>
      <c r="J13">
        <v>0</v>
      </c>
      <c r="K13">
        <v>0.18472222222222223</v>
      </c>
      <c r="L13">
        <v>0</v>
      </c>
      <c r="M13">
        <v>11</v>
      </c>
      <c r="N13">
        <v>0</v>
      </c>
      <c r="O13">
        <v>0</v>
      </c>
      <c r="P13">
        <v>3</v>
      </c>
    </row>
    <row r="14" spans="1:21" x14ac:dyDescent="0.2">
      <c r="A14">
        <v>18</v>
      </c>
      <c r="B14" s="1">
        <v>46209</v>
      </c>
      <c r="C14" t="s">
        <v>28</v>
      </c>
      <c r="D14">
        <v>69.224999999999994</v>
      </c>
      <c r="E14">
        <v>72.674999999999997</v>
      </c>
      <c r="F14">
        <v>18.3</v>
      </c>
      <c r="G14">
        <v>18.274999999999999</v>
      </c>
      <c r="H14">
        <f>AVERAGE(4790, 3030, 8860, 11530)</f>
        <v>7052.5</v>
      </c>
      <c r="I14">
        <v>0.90000000000000013</v>
      </c>
      <c r="J14">
        <v>0</v>
      </c>
      <c r="K14">
        <v>4.1666666666666664E-2</v>
      </c>
      <c r="L14">
        <v>2</v>
      </c>
      <c r="M14">
        <v>7</v>
      </c>
      <c r="N14">
        <v>0.2857142857142857</v>
      </c>
      <c r="O14">
        <v>3.1746031746031746E-3</v>
      </c>
      <c r="P14">
        <v>7</v>
      </c>
    </row>
    <row r="15" spans="1:21" x14ac:dyDescent="0.2">
      <c r="A15">
        <v>20</v>
      </c>
      <c r="B15" s="1">
        <v>46209</v>
      </c>
      <c r="C15" t="s">
        <v>29</v>
      </c>
      <c r="D15">
        <v>95.924999999999983</v>
      </c>
      <c r="E15">
        <v>73.599999999999994</v>
      </c>
      <c r="F15">
        <v>18.125</v>
      </c>
      <c r="G15">
        <v>18.125</v>
      </c>
      <c r="H15">
        <f>AVERAGE(11530, 14420, 13820, 12770)</f>
        <v>13135</v>
      </c>
      <c r="I15">
        <v>1.3250000000000002</v>
      </c>
      <c r="J15">
        <v>0</v>
      </c>
      <c r="K15">
        <v>0.10138888888888889</v>
      </c>
      <c r="L15">
        <v>0</v>
      </c>
      <c r="M15">
        <v>7</v>
      </c>
      <c r="N15">
        <v>0</v>
      </c>
      <c r="O15">
        <v>0</v>
      </c>
      <c r="P15">
        <v>7</v>
      </c>
      <c r="U15" s="4"/>
    </row>
    <row r="16" spans="1:21" x14ac:dyDescent="0.2">
      <c r="A16">
        <v>21</v>
      </c>
      <c r="B16" s="1">
        <v>46210</v>
      </c>
      <c r="C16" t="s">
        <v>26</v>
      </c>
      <c r="D16">
        <v>307.65000000000003</v>
      </c>
      <c r="E16">
        <v>68.674999999999997</v>
      </c>
      <c r="F16">
        <v>22.3</v>
      </c>
      <c r="G16">
        <v>21.674999999999997</v>
      </c>
      <c r="H16">
        <f>AVERAGE(20000,20000,16960, 10780)</f>
        <v>16935</v>
      </c>
      <c r="I16">
        <v>0.67500000000000004</v>
      </c>
      <c r="J16">
        <v>0</v>
      </c>
      <c r="K16">
        <v>2.3611111111111114E-2</v>
      </c>
      <c r="L16">
        <v>0</v>
      </c>
      <c r="M16">
        <v>9</v>
      </c>
      <c r="N16">
        <v>0</v>
      </c>
      <c r="O16">
        <v>0</v>
      </c>
      <c r="P16">
        <v>6</v>
      </c>
    </row>
    <row r="17" spans="1:21" x14ac:dyDescent="0.2">
      <c r="A17">
        <v>22</v>
      </c>
      <c r="B17" s="1">
        <v>46210</v>
      </c>
      <c r="C17" t="s">
        <v>27</v>
      </c>
      <c r="D17">
        <v>93.325000000000003</v>
      </c>
      <c r="E17">
        <v>77.025000000000006</v>
      </c>
      <c r="F17">
        <v>19.625</v>
      </c>
      <c r="G17">
        <v>19.649999999999999</v>
      </c>
      <c r="H17">
        <f>AVERAGE(5690, 6801, 13890, 10140)</f>
        <v>9130.25</v>
      </c>
      <c r="I17">
        <v>0.5</v>
      </c>
      <c r="J17">
        <v>0</v>
      </c>
      <c r="K17">
        <v>4.1666666666666671E-2</v>
      </c>
      <c r="L17">
        <v>1</v>
      </c>
      <c r="M17">
        <v>9</v>
      </c>
      <c r="N17">
        <v>0.1111111111111111</v>
      </c>
      <c r="O17">
        <v>1.2345679012345679E-3</v>
      </c>
      <c r="P17">
        <v>6</v>
      </c>
      <c r="U17" s="4"/>
    </row>
    <row r="18" spans="1:21" x14ac:dyDescent="0.2">
      <c r="A18">
        <v>23</v>
      </c>
      <c r="B18" s="1">
        <v>46212</v>
      </c>
      <c r="C18" t="s">
        <v>28</v>
      </c>
      <c r="D18">
        <v>690.75</v>
      </c>
      <c r="E18">
        <v>57.5</v>
      </c>
      <c r="F18">
        <v>27.9</v>
      </c>
      <c r="G18">
        <v>27.25</v>
      </c>
      <c r="H18">
        <v>20000</v>
      </c>
      <c r="I18">
        <v>0.3</v>
      </c>
      <c r="J18">
        <v>0</v>
      </c>
      <c r="K18">
        <v>1.6666666666666666E-2</v>
      </c>
      <c r="L18">
        <v>1</v>
      </c>
      <c r="M18">
        <v>11</v>
      </c>
      <c r="N18">
        <v>9.0909090909090912E-2</v>
      </c>
      <c r="O18">
        <v>1.0101010101010101E-3</v>
      </c>
      <c r="P18">
        <v>5</v>
      </c>
      <c r="U18" s="4"/>
    </row>
    <row r="19" spans="1:21" x14ac:dyDescent="0.2">
      <c r="A19">
        <v>24</v>
      </c>
      <c r="B19" s="1">
        <v>46212</v>
      </c>
      <c r="C19" t="s">
        <v>29</v>
      </c>
      <c r="D19">
        <v>806.75</v>
      </c>
      <c r="E19">
        <v>44.75</v>
      </c>
      <c r="F19">
        <v>33.424999999999997</v>
      </c>
      <c r="G19">
        <v>31.6</v>
      </c>
      <c r="H19">
        <v>20000</v>
      </c>
      <c r="I19">
        <v>1.45</v>
      </c>
      <c r="J19">
        <v>0</v>
      </c>
      <c r="K19">
        <v>0.1986111111111111</v>
      </c>
      <c r="L19">
        <v>1</v>
      </c>
      <c r="M19">
        <v>11</v>
      </c>
      <c r="N19">
        <v>9.0909090909090912E-2</v>
      </c>
      <c r="O19">
        <v>1.0101010101010101E-3</v>
      </c>
      <c r="P19">
        <v>5</v>
      </c>
    </row>
    <row r="20" spans="1:21" x14ac:dyDescent="0.2">
      <c r="A20">
        <v>25</v>
      </c>
      <c r="B20" s="1">
        <v>46213</v>
      </c>
      <c r="C20" t="s">
        <v>26</v>
      </c>
      <c r="D20">
        <v>737.5</v>
      </c>
      <c r="E20">
        <v>55.250000000000007</v>
      </c>
      <c r="F20">
        <v>25.75</v>
      </c>
      <c r="G20">
        <v>24.7</v>
      </c>
      <c r="H20">
        <v>20000</v>
      </c>
      <c r="I20">
        <v>2.7250000000000005</v>
      </c>
      <c r="J20">
        <v>0.25</v>
      </c>
      <c r="K20">
        <v>1.6810457516339867</v>
      </c>
      <c r="L20">
        <v>0</v>
      </c>
      <c r="M20">
        <v>8</v>
      </c>
      <c r="N20">
        <v>0</v>
      </c>
      <c r="O20">
        <v>0</v>
      </c>
      <c r="P20">
        <v>5</v>
      </c>
    </row>
    <row r="21" spans="1:21" x14ac:dyDescent="0.2">
      <c r="A21">
        <v>26</v>
      </c>
      <c r="B21" s="1">
        <v>46213</v>
      </c>
      <c r="C21" t="s">
        <v>27</v>
      </c>
      <c r="D21">
        <v>422.25</v>
      </c>
      <c r="E21">
        <v>64.524999999999991</v>
      </c>
      <c r="F21">
        <v>22.074999999999996</v>
      </c>
      <c r="G21">
        <v>21.4</v>
      </c>
      <c r="H21">
        <v>20000</v>
      </c>
      <c r="I21">
        <v>2.25</v>
      </c>
      <c r="J21">
        <v>0</v>
      </c>
      <c r="K21">
        <v>1.2659313725490196</v>
      </c>
      <c r="L21">
        <v>1</v>
      </c>
      <c r="M21">
        <v>8</v>
      </c>
      <c r="N21">
        <v>0.125</v>
      </c>
      <c r="O21">
        <v>1.3888888888888889E-3</v>
      </c>
      <c r="P21">
        <v>5</v>
      </c>
    </row>
    <row r="22" spans="1:21" x14ac:dyDescent="0.2">
      <c r="A22">
        <v>27</v>
      </c>
      <c r="B22" s="1">
        <v>46216</v>
      </c>
      <c r="C22" t="s">
        <v>28</v>
      </c>
      <c r="D22">
        <v>461.375</v>
      </c>
      <c r="E22">
        <v>57.849999999999994</v>
      </c>
      <c r="F22">
        <v>21.35</v>
      </c>
      <c r="G22">
        <v>20.375</v>
      </c>
      <c r="H22">
        <f>AVERAGE(14070, 16070, 20000, 20000)</f>
        <v>17535</v>
      </c>
      <c r="I22">
        <v>2.15</v>
      </c>
      <c r="J22">
        <v>2.5000000000000001E-2</v>
      </c>
      <c r="K22">
        <v>1.1527777777777777</v>
      </c>
      <c r="L22">
        <v>0</v>
      </c>
      <c r="M22">
        <v>10</v>
      </c>
      <c r="N22">
        <v>0</v>
      </c>
      <c r="O22">
        <v>0</v>
      </c>
      <c r="P22">
        <v>7</v>
      </c>
    </row>
    <row r="23" spans="1:21" x14ac:dyDescent="0.2">
      <c r="A23">
        <v>28</v>
      </c>
      <c r="B23" s="1">
        <v>46216</v>
      </c>
      <c r="C23" t="s">
        <v>29</v>
      </c>
      <c r="D23">
        <v>915</v>
      </c>
      <c r="E23">
        <v>44.4</v>
      </c>
      <c r="F23">
        <v>28.25</v>
      </c>
      <c r="G23">
        <v>25.725000000000001</v>
      </c>
      <c r="H23" s="4">
        <v>20000</v>
      </c>
      <c r="I23">
        <v>2.5</v>
      </c>
      <c r="J23">
        <v>0.2</v>
      </c>
      <c r="K23">
        <v>1.253921568627451</v>
      </c>
      <c r="L23">
        <v>0</v>
      </c>
      <c r="M23">
        <v>10</v>
      </c>
      <c r="N23">
        <v>0</v>
      </c>
      <c r="O23">
        <v>0</v>
      </c>
      <c r="P23">
        <v>7</v>
      </c>
    </row>
    <row r="24" spans="1:21" x14ac:dyDescent="0.2">
      <c r="A24">
        <v>29</v>
      </c>
      <c r="B24" s="1">
        <v>46217</v>
      </c>
      <c r="C24" t="s">
        <v>26</v>
      </c>
      <c r="D24">
        <v>641.5</v>
      </c>
      <c r="E24">
        <v>51.025000000000006</v>
      </c>
      <c r="F24">
        <v>24.625</v>
      </c>
      <c r="G24">
        <v>23.875</v>
      </c>
      <c r="H24" s="4">
        <v>20000</v>
      </c>
      <c r="I24">
        <v>2.6</v>
      </c>
      <c r="J24">
        <v>0.17500000000000002</v>
      </c>
      <c r="K24">
        <v>1.4999999999999998</v>
      </c>
      <c r="L24">
        <v>2</v>
      </c>
      <c r="M24">
        <v>10</v>
      </c>
      <c r="N24">
        <v>0.2</v>
      </c>
      <c r="O24">
        <v>2.2222222222222222E-3</v>
      </c>
      <c r="P24">
        <v>6</v>
      </c>
    </row>
    <row r="25" spans="1:21" x14ac:dyDescent="0.2">
      <c r="A25">
        <v>31</v>
      </c>
      <c r="B25" s="1">
        <v>46217</v>
      </c>
      <c r="C25" t="s">
        <v>27</v>
      </c>
      <c r="D25">
        <v>564.75</v>
      </c>
      <c r="E25">
        <v>54.375</v>
      </c>
      <c r="F25">
        <v>22.224999999999998</v>
      </c>
      <c r="G25">
        <v>22.175000000000001</v>
      </c>
      <c r="H25" s="4">
        <v>20000</v>
      </c>
      <c r="I25">
        <v>2.5750000000000002</v>
      </c>
      <c r="J25">
        <v>2.5000000000000001E-2</v>
      </c>
      <c r="K25">
        <v>1.4347222222222222</v>
      </c>
      <c r="L25">
        <v>0</v>
      </c>
      <c r="M25">
        <v>10</v>
      </c>
      <c r="N25">
        <v>0</v>
      </c>
      <c r="O25">
        <v>0</v>
      </c>
      <c r="P25">
        <v>6</v>
      </c>
    </row>
    <row r="26" spans="1:21" x14ac:dyDescent="0.2">
      <c r="A26">
        <v>32</v>
      </c>
      <c r="B26" s="1">
        <v>46219</v>
      </c>
      <c r="C26" t="s">
        <v>28</v>
      </c>
      <c r="D26">
        <v>220.42500000000001</v>
      </c>
      <c r="E26">
        <v>63.2</v>
      </c>
      <c r="F26">
        <v>19.700000000000003</v>
      </c>
      <c r="G26">
        <v>19.700000000000003</v>
      </c>
      <c r="H26">
        <f>AVERAGE(9110, 15510, 18380, 20000)</f>
        <v>15750</v>
      </c>
      <c r="I26">
        <v>0.77500000000000002</v>
      </c>
      <c r="J26">
        <v>0</v>
      </c>
      <c r="K26">
        <v>8.3333333333333343E-2</v>
      </c>
      <c r="L26">
        <v>3</v>
      </c>
      <c r="M26">
        <v>10</v>
      </c>
      <c r="N26">
        <v>0.3</v>
      </c>
      <c r="O26">
        <v>3.3333333333333331E-3</v>
      </c>
      <c r="P26">
        <v>7</v>
      </c>
    </row>
    <row r="27" spans="1:21" x14ac:dyDescent="0.2">
      <c r="A27">
        <v>35</v>
      </c>
      <c r="B27" s="1">
        <v>46219</v>
      </c>
      <c r="C27" t="s">
        <v>29</v>
      </c>
      <c r="D27">
        <v>750</v>
      </c>
      <c r="E27">
        <v>51.55</v>
      </c>
      <c r="F27">
        <v>26.7</v>
      </c>
      <c r="G27">
        <v>25.95</v>
      </c>
      <c r="H27" s="4">
        <v>20000</v>
      </c>
      <c r="I27">
        <v>1.375</v>
      </c>
      <c r="J27">
        <v>2.5000000000000001E-2</v>
      </c>
      <c r="K27">
        <v>0.4291666666666667</v>
      </c>
      <c r="L27">
        <v>1</v>
      </c>
      <c r="M27">
        <v>10</v>
      </c>
      <c r="N27">
        <v>0.1</v>
      </c>
      <c r="O27">
        <v>1.1111111111111111E-3</v>
      </c>
      <c r="P27">
        <v>7</v>
      </c>
    </row>
    <row r="28" spans="1:21" x14ac:dyDescent="0.2">
      <c r="A28">
        <v>36</v>
      </c>
      <c r="B28" s="1">
        <v>46251</v>
      </c>
      <c r="C28" t="s">
        <v>26</v>
      </c>
      <c r="D28">
        <v>835.25</v>
      </c>
      <c r="E28">
        <v>52.95</v>
      </c>
      <c r="F28">
        <v>27.249999999999996</v>
      </c>
      <c r="G28">
        <v>25.375</v>
      </c>
      <c r="H28" s="4">
        <v>20000</v>
      </c>
      <c r="I28">
        <v>2.2999999999999998</v>
      </c>
      <c r="J28">
        <v>0.32500000000000001</v>
      </c>
      <c r="K28">
        <v>1.4263888888888889</v>
      </c>
      <c r="L28">
        <v>1</v>
      </c>
      <c r="M28">
        <v>9</v>
      </c>
      <c r="N28">
        <v>0.1111111111111111</v>
      </c>
      <c r="O28">
        <v>1.2345679012345679E-3</v>
      </c>
      <c r="P28">
        <v>8</v>
      </c>
    </row>
    <row r="29" spans="1:21" x14ac:dyDescent="0.2">
      <c r="A29">
        <v>37</v>
      </c>
      <c r="B29" s="1">
        <v>46251</v>
      </c>
      <c r="C29" t="s">
        <v>27</v>
      </c>
      <c r="D29">
        <v>548.5</v>
      </c>
      <c r="E29">
        <v>56.774999999999999</v>
      </c>
      <c r="F29">
        <v>22.774999999999999</v>
      </c>
      <c r="G29">
        <v>22.299999999999997</v>
      </c>
      <c r="H29" s="4">
        <v>20000</v>
      </c>
      <c r="I29">
        <v>2.1749999999999998</v>
      </c>
      <c r="J29">
        <v>0.05</v>
      </c>
      <c r="K29">
        <v>1.1208333333333333</v>
      </c>
      <c r="L29">
        <v>0</v>
      </c>
      <c r="M29">
        <v>9</v>
      </c>
      <c r="N29">
        <v>0</v>
      </c>
      <c r="O29">
        <v>0</v>
      </c>
      <c r="P29">
        <v>8</v>
      </c>
      <c r="U29" s="4"/>
    </row>
    <row r="30" spans="1:21" x14ac:dyDescent="0.2">
      <c r="U30" s="4"/>
    </row>
    <row r="31" spans="1:21" x14ac:dyDescent="0.2">
      <c r="U31" s="4"/>
    </row>
    <row r="32" spans="1:21" x14ac:dyDescent="0.2">
      <c r="U32" s="4"/>
    </row>
    <row r="36" spans="21:21" x14ac:dyDescent="0.2">
      <c r="U36" s="4"/>
    </row>
    <row r="37" spans="21:21" x14ac:dyDescent="0.2">
      <c r="U37" s="4"/>
    </row>
    <row r="38" spans="21:21" x14ac:dyDescent="0.2">
      <c r="U3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4554E-B6F3-C64D-B933-2648CA1536FD}">
  <dimension ref="A1:K15"/>
  <sheetViews>
    <sheetView topLeftCell="F1" workbookViewId="0">
      <selection activeCell="C20" sqref="C20"/>
    </sheetView>
  </sheetViews>
  <sheetFormatPr baseColWidth="10" defaultRowHeight="16" x14ac:dyDescent="0.2"/>
  <cols>
    <col min="1" max="1" width="15.6640625" customWidth="1"/>
    <col min="2" max="2" width="22.5" customWidth="1"/>
    <col min="3" max="3" width="19.5" customWidth="1"/>
    <col min="4" max="4" width="23" customWidth="1"/>
    <col min="5" max="5" width="22.33203125" customWidth="1"/>
    <col min="6" max="6" width="22" customWidth="1"/>
    <col min="7" max="7" width="25.83203125" customWidth="1"/>
    <col min="8" max="8" width="23.1640625" customWidth="1"/>
    <col min="9" max="9" width="24.83203125" customWidth="1"/>
    <col min="10" max="10" width="27.1640625" customWidth="1"/>
    <col min="11" max="11" width="30.6640625" customWidth="1"/>
  </cols>
  <sheetData>
    <row r="1" spans="1:11" s="2" customFormat="1" x14ac:dyDescent="0.2">
      <c r="A1" s="3" t="s">
        <v>19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</row>
    <row r="2" spans="1:11" x14ac:dyDescent="0.2">
      <c r="A2" s="1">
        <v>46196</v>
      </c>
      <c r="B2">
        <v>32</v>
      </c>
      <c r="C2">
        <v>2</v>
      </c>
      <c r="D2">
        <v>60</v>
      </c>
      <c r="E2">
        <v>300</v>
      </c>
      <c r="F2">
        <v>75</v>
      </c>
      <c r="G2">
        <v>25</v>
      </c>
      <c r="H2">
        <v>22</v>
      </c>
      <c r="I2" t="s">
        <v>15</v>
      </c>
      <c r="J2" t="s">
        <v>15</v>
      </c>
      <c r="K2" t="s">
        <v>15</v>
      </c>
    </row>
    <row r="3" spans="1:11" x14ac:dyDescent="0.2">
      <c r="A3" s="1">
        <v>46197</v>
      </c>
      <c r="B3">
        <v>10</v>
      </c>
      <c r="C3" t="s">
        <v>15</v>
      </c>
      <c r="D3">
        <v>78</v>
      </c>
      <c r="E3">
        <v>319</v>
      </c>
      <c r="F3">
        <v>16</v>
      </c>
      <c r="G3">
        <v>31</v>
      </c>
      <c r="H3">
        <v>24</v>
      </c>
      <c r="I3">
        <v>2</v>
      </c>
      <c r="J3" t="s">
        <v>15</v>
      </c>
      <c r="K3" t="s">
        <v>15</v>
      </c>
    </row>
    <row r="4" spans="1:11" x14ac:dyDescent="0.2">
      <c r="A4" s="1">
        <v>46202</v>
      </c>
      <c r="B4">
        <v>24</v>
      </c>
      <c r="C4" t="s">
        <v>15</v>
      </c>
      <c r="D4">
        <v>71</v>
      </c>
      <c r="E4">
        <v>414</v>
      </c>
      <c r="F4">
        <v>16</v>
      </c>
      <c r="G4">
        <v>41</v>
      </c>
      <c r="H4">
        <v>4</v>
      </c>
      <c r="I4" t="s">
        <v>15</v>
      </c>
      <c r="J4" t="s">
        <v>15</v>
      </c>
      <c r="K4" t="s">
        <v>15</v>
      </c>
    </row>
    <row r="5" spans="1:11" x14ac:dyDescent="0.2">
      <c r="A5" s="1">
        <v>46204</v>
      </c>
      <c r="B5">
        <v>19</v>
      </c>
      <c r="C5" t="s">
        <v>15</v>
      </c>
      <c r="D5">
        <v>37</v>
      </c>
      <c r="E5">
        <v>589</v>
      </c>
      <c r="F5">
        <v>19</v>
      </c>
      <c r="G5">
        <v>205</v>
      </c>
      <c r="H5">
        <v>5</v>
      </c>
      <c r="I5" t="s">
        <v>15</v>
      </c>
      <c r="J5" t="s">
        <v>15</v>
      </c>
      <c r="K5" t="s">
        <v>15</v>
      </c>
    </row>
    <row r="6" spans="1:11" x14ac:dyDescent="0.2">
      <c r="A6" s="1">
        <v>46205</v>
      </c>
      <c r="B6">
        <v>22</v>
      </c>
      <c r="C6" t="s">
        <v>15</v>
      </c>
      <c r="D6">
        <v>67</v>
      </c>
      <c r="E6">
        <v>433</v>
      </c>
      <c r="F6">
        <v>1</v>
      </c>
      <c r="G6">
        <v>64</v>
      </c>
      <c r="H6">
        <v>4</v>
      </c>
      <c r="I6" t="s">
        <v>15</v>
      </c>
      <c r="J6" t="s">
        <v>15</v>
      </c>
      <c r="K6" t="s">
        <v>15</v>
      </c>
    </row>
    <row r="7" spans="1:11" x14ac:dyDescent="0.2">
      <c r="A7" s="1">
        <v>46206</v>
      </c>
      <c r="B7">
        <v>23</v>
      </c>
      <c r="C7" t="s">
        <v>15</v>
      </c>
      <c r="D7">
        <v>86</v>
      </c>
      <c r="E7">
        <v>672</v>
      </c>
      <c r="F7">
        <v>1</v>
      </c>
      <c r="G7">
        <v>55</v>
      </c>
      <c r="H7">
        <v>3</v>
      </c>
      <c r="I7" t="s">
        <v>15</v>
      </c>
      <c r="J7" t="s">
        <v>15</v>
      </c>
      <c r="K7" t="s">
        <v>15</v>
      </c>
    </row>
    <row r="8" spans="1:11" x14ac:dyDescent="0.2">
      <c r="A8" s="1">
        <v>46209</v>
      </c>
      <c r="B8">
        <v>26</v>
      </c>
      <c r="C8" t="s">
        <v>15</v>
      </c>
      <c r="D8">
        <v>73</v>
      </c>
      <c r="E8">
        <v>204</v>
      </c>
      <c r="F8" t="s">
        <v>15</v>
      </c>
      <c r="G8">
        <v>60</v>
      </c>
      <c r="H8">
        <v>7</v>
      </c>
      <c r="I8" t="s">
        <v>15</v>
      </c>
      <c r="J8" t="s">
        <v>15</v>
      </c>
      <c r="K8" t="s">
        <v>15</v>
      </c>
    </row>
    <row r="9" spans="1:11" x14ac:dyDescent="0.2">
      <c r="A9" s="1">
        <v>46210</v>
      </c>
      <c r="B9">
        <v>17</v>
      </c>
      <c r="C9" t="s">
        <v>15</v>
      </c>
      <c r="D9">
        <v>41</v>
      </c>
      <c r="E9">
        <v>180</v>
      </c>
      <c r="F9" t="s">
        <v>15</v>
      </c>
      <c r="G9">
        <v>72</v>
      </c>
      <c r="H9">
        <v>6</v>
      </c>
      <c r="I9" t="s">
        <v>15</v>
      </c>
      <c r="J9" t="s">
        <v>15</v>
      </c>
      <c r="K9" t="s">
        <v>15</v>
      </c>
    </row>
    <row r="10" spans="1:11" x14ac:dyDescent="0.2">
      <c r="A10" s="1">
        <v>46212</v>
      </c>
      <c r="B10">
        <v>14</v>
      </c>
      <c r="C10" t="s">
        <v>15</v>
      </c>
      <c r="D10">
        <v>38</v>
      </c>
      <c r="E10">
        <v>54</v>
      </c>
      <c r="F10" t="s">
        <v>15</v>
      </c>
      <c r="G10">
        <v>32</v>
      </c>
      <c r="H10">
        <v>5</v>
      </c>
      <c r="I10" t="s">
        <v>15</v>
      </c>
      <c r="J10" t="s">
        <v>15</v>
      </c>
      <c r="K10" t="s">
        <v>15</v>
      </c>
    </row>
    <row r="11" spans="1:11" x14ac:dyDescent="0.2">
      <c r="A11" s="1">
        <v>46213</v>
      </c>
      <c r="B11">
        <v>18</v>
      </c>
      <c r="C11" t="s">
        <v>15</v>
      </c>
      <c r="D11">
        <v>21</v>
      </c>
      <c r="E11" t="s">
        <v>15</v>
      </c>
      <c r="F11" t="s">
        <v>15</v>
      </c>
      <c r="G11">
        <v>61</v>
      </c>
      <c r="H11">
        <v>5</v>
      </c>
      <c r="I11" t="s">
        <v>15</v>
      </c>
      <c r="J11" t="s">
        <v>15</v>
      </c>
      <c r="K11" t="s">
        <v>15</v>
      </c>
    </row>
    <row r="12" spans="1:11" x14ac:dyDescent="0.2">
      <c r="A12" s="1">
        <v>46216</v>
      </c>
      <c r="B12" t="s">
        <v>15</v>
      </c>
      <c r="C12" t="s">
        <v>15</v>
      </c>
      <c r="D12" t="s">
        <v>15</v>
      </c>
      <c r="E12" t="s">
        <v>15</v>
      </c>
      <c r="F12">
        <v>57</v>
      </c>
      <c r="G12" t="s">
        <v>15</v>
      </c>
      <c r="H12">
        <v>7</v>
      </c>
      <c r="I12" t="s">
        <v>15</v>
      </c>
      <c r="J12" t="s">
        <v>15</v>
      </c>
      <c r="K12" t="s">
        <v>15</v>
      </c>
    </row>
    <row r="13" spans="1:11" x14ac:dyDescent="0.2">
      <c r="A13" s="1">
        <v>46217</v>
      </c>
      <c r="B13" t="s">
        <v>15</v>
      </c>
      <c r="C13" t="s">
        <v>15</v>
      </c>
      <c r="D13" t="s">
        <v>15</v>
      </c>
      <c r="E13" t="s">
        <v>15</v>
      </c>
      <c r="F13">
        <v>56</v>
      </c>
      <c r="G13" t="s">
        <v>15</v>
      </c>
      <c r="H13">
        <v>6</v>
      </c>
      <c r="I13" t="s">
        <v>15</v>
      </c>
      <c r="J13" t="s">
        <v>15</v>
      </c>
      <c r="K13" t="s">
        <v>15</v>
      </c>
    </row>
    <row r="14" spans="1:11" x14ac:dyDescent="0.2">
      <c r="A14" s="1">
        <v>46219</v>
      </c>
      <c r="B14">
        <v>2</v>
      </c>
      <c r="C14" t="s">
        <v>15</v>
      </c>
      <c r="D14" t="s">
        <v>15</v>
      </c>
      <c r="E14" t="s">
        <v>15</v>
      </c>
      <c r="F14">
        <v>25</v>
      </c>
      <c r="G14">
        <v>2</v>
      </c>
      <c r="H14">
        <v>7</v>
      </c>
      <c r="I14" t="s">
        <v>15</v>
      </c>
      <c r="J14">
        <v>699</v>
      </c>
      <c r="K14" t="s">
        <v>15</v>
      </c>
    </row>
    <row r="15" spans="1:11" x14ac:dyDescent="0.2">
      <c r="A15" s="1">
        <v>46251</v>
      </c>
      <c r="B15">
        <v>2</v>
      </c>
      <c r="C15" t="s">
        <v>15</v>
      </c>
      <c r="D15" t="s">
        <v>15</v>
      </c>
      <c r="E15" t="s">
        <v>15</v>
      </c>
      <c r="F15">
        <v>23</v>
      </c>
      <c r="G15" t="s">
        <v>15</v>
      </c>
      <c r="H15">
        <v>8</v>
      </c>
      <c r="I15" t="s">
        <v>15</v>
      </c>
      <c r="J15">
        <v>399</v>
      </c>
      <c r="K1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pollinator_data_raw</vt:lpstr>
      <vt:lpstr>number_of_pollinators</vt:lpstr>
      <vt:lpstr>floral_units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 Borrowman</dc:creator>
  <cp:lastModifiedBy>Sally Borrowman</cp:lastModifiedBy>
  <dcterms:created xsi:type="dcterms:W3CDTF">2026-08-21T09:03:48Z</dcterms:created>
  <dcterms:modified xsi:type="dcterms:W3CDTF">2026-08-24T11:06:17Z</dcterms:modified>
</cp:coreProperties>
</file>